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ster Bus" sheetId="1" r:id="rId4"/>
    <sheet state="visible" name="Hiace" sheetId="2" r:id="rId5"/>
    <sheet state="visible" name="Sheet1" sheetId="3" r:id="rId6"/>
  </sheets>
  <definedNames>
    <definedName name="PL_Minority_NI">#REF!</definedName>
    <definedName name="PL_FDEPS">#REF!</definedName>
    <definedName name="PL_SGA">#REF!</definedName>
    <definedName name="CF_Minority_NI">#REF!</definedName>
    <definedName name="BS_Provisions">#REF!</definedName>
    <definedName name="BS_Convertible_Debt">#REF!</definedName>
    <definedName name="p_BS">#REF!</definedName>
    <definedName name="CF_AP">#REF!</definedName>
    <definedName name="PL_Rent">#REF!</definedName>
    <definedName name="CF_Capex">#REF!</definedName>
    <definedName name="p_LTM_IS">#REF!</definedName>
    <definedName name="PL_Depreciation">#REF!</definedName>
    <definedName name="PL_Interest_Income">#REF!</definedName>
    <definedName name="BS_Straight_Debt">#REF!</definedName>
    <definedName name="CF_Equity">#REF!</definedName>
    <definedName name="CF_Convertible_Preferred">#REF!</definedName>
    <definedName name="BS_Other_LTAssets">#REF!</definedName>
    <definedName name="CF_Other">#REF!</definedName>
    <definedName name="PL_Loss_Debt">#REF!</definedName>
    <definedName name="BS_AR">#REF!</definedName>
    <definedName name="p_Depr4">#REF!</definedName>
    <definedName name="p_LTM_BS">#REF!</definedName>
    <definedName name="PL_Revenues">#REF!</definedName>
    <definedName name="PL_Straight_PDividend">#REF!</definedName>
    <definedName name="BS_AP">#REF!</definedName>
    <definedName name="PL_XO">#REF!</definedName>
    <definedName name="BS_Cash">#REF!</definedName>
    <definedName name="CF_Dividends_Subsidiary">#REF!</definedName>
    <definedName name="BS_CL">#REF!</definedName>
    <definedName name="PL_Loss_Preferred">#REF!</definedName>
    <definedName name="PL_Straight_Interest">#REF!</definedName>
    <definedName name="CF_AR">#REF!</definedName>
    <definedName name="CF_Investments">#REF!</definedName>
    <definedName name="PL_Income_Taxes">#REF!</definedName>
    <definedName name="CF_Provisions">#REF!</definedName>
    <definedName name="CF_Convertible_Debt">#REF!</definedName>
    <definedName name="CF_Non_Cash_Charges">#REF!</definedName>
    <definedName name="CF_Straight_Preferred">#REF!</definedName>
    <definedName name="PL_Equity_Earnings">#REF!</definedName>
    <definedName name="BS_PPE">#REF!</definedName>
    <definedName name="p_Depr1">#REF!</definedName>
    <definedName name="CF_Other_CA">#REF!</definedName>
    <definedName name="PL_Convertible_Interest">#REF!</definedName>
    <definedName name="CF_Depreciation">#REF!</definedName>
    <definedName name="p_Depr5">#REF!</definedName>
    <definedName name="CF_Inventory">#REF!</definedName>
    <definedName name="BS_Inventory">#REF!</definedName>
    <definedName name="BS_Other_LTLiabilities">#REF!</definedName>
    <definedName name="BS_Investments">#REF!</definedName>
    <definedName name="CF_Dividends">#REF!</definedName>
    <definedName name="p_Depr2">#REF!</definedName>
    <definedName name="p_CFS">#REF!</definedName>
    <definedName name="PL_Non_Operating_Expenses">#REF!</definedName>
    <definedName name="p_IncomeStatement">#REF!</definedName>
    <definedName name="PL_COGS">#REF!</definedName>
    <definedName name="CF_Deferred_Taxes">#REF!</definedName>
    <definedName name="BS_Equity">#REF!</definedName>
    <definedName name="CF_Non_Cash_Interest">#REF!</definedName>
    <definedName name="BS_Straight_Preferred">#REF!</definedName>
    <definedName name="BS_Deferred_Taxes">#REF!</definedName>
    <definedName name="BS_Revolver">#REF!</definedName>
    <definedName name="CF_Equity_Earnings">#REF!</definedName>
    <definedName name="PL_Amortization">#REF!</definedName>
    <definedName name="CF_Amortization">#REF!</definedName>
    <definedName name="p_Depr3">#REF!</definedName>
    <definedName name="BS_Minority">#REF!</definedName>
    <definedName name="BS_Intangibles">#REF!</definedName>
    <definedName name="CF_Non_Cash_Straight_PDividend">#REF!</definedName>
    <definedName name="CF_Other_CL">#REF!</definedName>
    <definedName name="CF_NI">#REF!</definedName>
    <definedName name="BS_Other_CA">#REF!</definedName>
    <definedName name="BS_Convertible_Preferred">#REF!</definedName>
    <definedName name="PL_Operating_Expenses">#REF!</definedName>
    <definedName name="CF_Beg_Cash">#REF!</definedName>
    <definedName name="CF_Straight_Debt">#REF!</definedName>
    <definedName name="PL_Convertible_PDividend">#REF!</definedName>
    <definedName name="PL_BasicSO">#REF!</definedName>
    <definedName name="PL_FDSO">#REF!</definedName>
  </definedNames>
  <calcPr/>
  <extLst>
    <ext uri="GoogleSheetsCustomDataVersion2">
      <go:sheetsCustomData xmlns:go="http://customooxmlschemas.google.com/" r:id="rId7" roundtripDataChecksum="BnUEJpXLD3b82ZJLgfn1+DNmHMKi4FRNFwbQ5giAx9Q="/>
    </ext>
  </extLst>
</workbook>
</file>

<file path=xl/sharedStrings.xml><?xml version="1.0" encoding="utf-8"?>
<sst xmlns="http://schemas.openxmlformats.org/spreadsheetml/2006/main" count="103" uniqueCount="32">
  <si>
    <t>Saloon Cars Rates</t>
  </si>
  <si>
    <t>Coaster Bus Rates</t>
  </si>
  <si>
    <t>Hiace Bus Rates</t>
  </si>
  <si>
    <t>S/N</t>
  </si>
  <si>
    <t>DESCRIPTION</t>
  </si>
  <si>
    <t>DAILY RATE</t>
  </si>
  <si>
    <t>Daily Rate</t>
  </si>
  <si>
    <t>3days</t>
  </si>
  <si>
    <t>2 Days</t>
  </si>
  <si>
    <t>Monthly Rates</t>
  </si>
  <si>
    <t>Fuel Usage Calculation</t>
  </si>
  <si>
    <t>Fuel Usage</t>
  </si>
  <si>
    <t>Daily Fuel (litres)</t>
  </si>
  <si>
    <t>Salaries (Driver per bus)</t>
  </si>
  <si>
    <t>Fuel cost per litre</t>
  </si>
  <si>
    <t>Vehicle Maintenance</t>
  </si>
  <si>
    <t>Total Cost for Fuel/day</t>
  </si>
  <si>
    <t>Security Fees (Parking Incl.)</t>
  </si>
  <si>
    <t xml:space="preserve">  </t>
  </si>
  <si>
    <t>Government levies</t>
  </si>
  <si>
    <t>Mark-Up Percentage</t>
  </si>
  <si>
    <t>Driver Outstation Allowance</t>
  </si>
  <si>
    <t>Depreciation cost</t>
  </si>
  <si>
    <t>,,</t>
  </si>
  <si>
    <t>Vehicle Documents</t>
  </si>
  <si>
    <t>Distance km</t>
  </si>
  <si>
    <t>Running Total</t>
  </si>
  <si>
    <t>Trips</t>
  </si>
  <si>
    <t>Mark-Up</t>
  </si>
  <si>
    <t>Ratio</t>
  </si>
  <si>
    <t>TOTAL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</si>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</sst>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0_-;\-* #,##0.00_-;_-* &quot;-&quot;??_-;_-@"/>
    <numFmt numFmtId="165" formatCode="_-* #,##0_-;\-* #,##0_-;_-* &quot;-&quot;??_-;_-@"/>
    <numFmt numFmtId="166" formatCode="_(* #,##0.000_);_(* \(#,##0.000\);_(* &quot;-&quot;???_);_(@_)"/>
    <numFmt numFmtId="167" formatCode="_(* #,##0.00_);_(* \(#,##0.00\);_(* &quot;-&quot;??_);_(@_)"/>
  </numFmts>
  <fonts count="12">
    <font>
      <sz val="11.0"/>
      <color rgb="FF000000"/>
      <name val="Arial"/>
      <scheme val="minor"/>
    </font>
    <font>
      <b/>
      <sz val="16.0"/>
      <color theme="1"/>
      <name val="Calibri"/>
    </font>
    <font>
      <b/>
      <u/>
      <sz val="16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3.0"/>
      <color theme="1"/>
      <name val="Calibri"/>
    </font>
    <font/>
    <font>
      <sz val="12.0"/>
      <color theme="1"/>
      <name val="Calibri"/>
    </font>
    <font>
      <b/>
      <sz val="14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164" xfId="0" applyFont="1" applyNumberFormat="1"/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5" fillId="0" fontId="4" numFmtId="0" xfId="0" applyAlignment="1" applyBorder="1" applyFont="1">
      <alignment horizontal="center"/>
    </xf>
    <xf borderId="6" fillId="0" fontId="6" numFmtId="0" xfId="0" applyBorder="1" applyFont="1"/>
    <xf borderId="7" fillId="0" fontId="7" numFmtId="0" xfId="0" applyBorder="1" applyFont="1"/>
    <xf borderId="8" fillId="0" fontId="7" numFmtId="0" xfId="0" applyBorder="1" applyFont="1"/>
    <xf borderId="8" fillId="0" fontId="7" numFmtId="164" xfId="0" applyBorder="1" applyFont="1" applyNumberFormat="1"/>
    <xf borderId="9" fillId="0" fontId="7" numFmtId="164" xfId="0" applyBorder="1" applyFont="1" applyNumberFormat="1"/>
    <xf borderId="10" fillId="0" fontId="7" numFmtId="4" xfId="0" applyBorder="1" applyFont="1" applyNumberFormat="1"/>
    <xf borderId="0" fillId="0" fontId="8" numFmtId="164" xfId="0" applyFont="1" applyNumberFormat="1"/>
    <xf borderId="11" fillId="0" fontId="7" numFmtId="0" xfId="0" applyBorder="1" applyFont="1"/>
    <xf borderId="11" fillId="2" fontId="7" numFmtId="164" xfId="0" applyBorder="1" applyFill="1" applyFont="1" applyNumberFormat="1"/>
    <xf borderId="12" fillId="0" fontId="7" numFmtId="0" xfId="0" applyBorder="1" applyFont="1"/>
    <xf borderId="13" fillId="2" fontId="7" numFmtId="164" xfId="0" applyBorder="1" applyFont="1" applyNumberFormat="1"/>
    <xf borderId="14" fillId="0" fontId="7" numFmtId="4" xfId="0" applyBorder="1" applyFont="1" applyNumberFormat="1"/>
    <xf borderId="11" fillId="2" fontId="7" numFmtId="164" xfId="0" applyAlignment="1" applyBorder="1" applyFont="1" applyNumberFormat="1">
      <alignment readingOrder="0"/>
    </xf>
    <xf borderId="11" fillId="0" fontId="4" numFmtId="0" xfId="0" applyBorder="1" applyFont="1"/>
    <xf borderId="11" fillId="0" fontId="4" numFmtId="164" xfId="0" applyBorder="1" applyFont="1" applyNumberFormat="1"/>
    <xf borderId="0" fillId="0" fontId="9" numFmtId="0" xfId="0" applyFont="1"/>
    <xf borderId="0" fillId="0" fontId="7" numFmtId="0" xfId="0" applyFont="1"/>
    <xf borderId="0" fillId="0" fontId="7" numFmtId="164" xfId="0" applyFont="1" applyNumberFormat="1"/>
    <xf borderId="11" fillId="2" fontId="4" numFmtId="9" xfId="0" applyBorder="1" applyFont="1" applyNumberFormat="1"/>
    <xf borderId="0" fillId="0" fontId="4" numFmtId="0" xfId="0" applyFont="1"/>
    <xf borderId="0" fillId="0" fontId="4" numFmtId="9" xfId="0" applyFont="1" applyNumberForma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11" fillId="0" fontId="4" numFmtId="4" xfId="0" applyBorder="1" applyFont="1" applyNumberFormat="1"/>
    <xf borderId="14" fillId="0" fontId="4" numFmtId="4" xfId="0" applyBorder="1" applyFont="1" applyNumberFormat="1"/>
    <xf borderId="5" fillId="0" fontId="4" numFmtId="4" xfId="0" applyBorder="1" applyFont="1" applyNumberFormat="1"/>
    <xf borderId="0" fillId="0" fontId="3" numFmtId="165" xfId="0" applyFont="1" applyNumberFormat="1"/>
    <xf borderId="11" fillId="0" fontId="10" numFmtId="0" xfId="0" applyBorder="1" applyFont="1"/>
    <xf borderId="0" fillId="0" fontId="8" numFmtId="9" xfId="0" applyFont="1" applyNumberFormat="1"/>
    <xf borderId="0" fillId="0" fontId="11" numFmtId="0" xfId="0" applyFont="1"/>
    <xf borderId="15" fillId="2" fontId="3" numFmtId="164" xfId="0" applyBorder="1" applyFont="1" applyNumberFormat="1"/>
    <xf borderId="16" fillId="0" fontId="7" numFmtId="0" xfId="0" applyBorder="1" applyFont="1"/>
    <xf borderId="17" fillId="0" fontId="4" numFmtId="0" xfId="0" applyBorder="1" applyFont="1"/>
    <xf borderId="0" fillId="0" fontId="3" numFmtId="166" xfId="0" applyFont="1" applyNumberFormat="1"/>
    <xf borderId="17" fillId="0" fontId="4" numFmtId="4" xfId="0" applyBorder="1" applyFont="1" applyNumberFormat="1"/>
    <xf borderId="11" fillId="0" fontId="3" numFmtId="0" xfId="0" applyBorder="1" applyFont="1"/>
    <xf borderId="18" fillId="0" fontId="4" numFmtId="4" xfId="0" applyBorder="1" applyFont="1" applyNumberFormat="1"/>
    <xf borderId="11" fillId="0" fontId="3" numFmtId="164" xfId="0" applyBorder="1" applyFont="1" applyNumberFormat="1"/>
    <xf borderId="0" fillId="0" fontId="9" numFmtId="3" xfId="0" applyFont="1" applyNumberFormat="1"/>
    <xf borderId="0" fillId="0" fontId="3" numFmtId="0" xfId="0" applyAlignment="1" applyFont="1">
      <alignment horizontal="left"/>
    </xf>
    <xf borderId="19" fillId="0" fontId="4" numFmtId="4" xfId="0" applyBorder="1" applyFont="1" applyNumberFormat="1"/>
    <xf borderId="0" fillId="0" fontId="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8.0"/>
    <col customWidth="1" min="3" max="4" width="16.63"/>
    <col customWidth="1" min="5" max="5" width="15.0"/>
    <col customWidth="1" min="6" max="6" width="8.75"/>
    <col customWidth="1" min="7" max="7" width="24.63"/>
    <col customWidth="1" min="8" max="8" width="15.25"/>
    <col customWidth="1" min="9" max="9" width="13.75"/>
    <col customWidth="1" min="10" max="10" width="15.63"/>
    <col customWidth="1" min="11" max="12" width="8.75"/>
    <col customWidth="1" min="13" max="13" width="20.0"/>
  </cols>
  <sheetData>
    <row r="1">
      <c r="A1" s="1" t="s">
        <v>1</v>
      </c>
      <c r="F1" s="2"/>
      <c r="H1" s="3"/>
    </row>
    <row r="2">
      <c r="A2" s="5" t="s">
        <v>3</v>
      </c>
      <c r="B2" s="6" t="s">
        <v>4</v>
      </c>
      <c r="C2" s="6" t="s">
        <v>6</v>
      </c>
      <c r="D2" s="8" t="s">
        <v>8</v>
      </c>
      <c r="E2" s="9" t="s">
        <v>9</v>
      </c>
      <c r="F2" s="10"/>
      <c r="G2" s="11" t="s">
        <v>10</v>
      </c>
      <c r="H2" s="12"/>
    </row>
    <row r="3">
      <c r="A3" s="13">
        <v>1.0</v>
      </c>
      <c r="B3" s="14" t="s">
        <v>11</v>
      </c>
      <c r="C3" s="15">
        <f>H5</f>
        <v>22800</v>
      </c>
      <c r="D3" s="16">
        <f t="shared" ref="D3:D7" si="1">C3*3</f>
        <v>68400</v>
      </c>
      <c r="E3" s="17">
        <f t="shared" ref="E3:E9" si="2">C3*31</f>
        <v>706800</v>
      </c>
      <c r="F3" s="18"/>
      <c r="G3" s="19" t="s">
        <v>12</v>
      </c>
      <c r="H3" s="20">
        <f>H10*H11*H12</f>
        <v>19</v>
      </c>
    </row>
    <row r="4">
      <c r="A4" s="21">
        <v>2.0</v>
      </c>
      <c r="B4" s="19" t="s">
        <v>13</v>
      </c>
      <c r="C4" s="20">
        <v>10000.0</v>
      </c>
      <c r="D4" s="22">
        <f t="shared" si="1"/>
        <v>30000</v>
      </c>
      <c r="E4" s="23">
        <f t="shared" si="2"/>
        <v>310000</v>
      </c>
      <c r="F4" s="18"/>
      <c r="G4" s="19" t="s">
        <v>14</v>
      </c>
      <c r="H4" s="24">
        <v>1200.0</v>
      </c>
    </row>
    <row r="5">
      <c r="A5" s="21">
        <v>3.0</v>
      </c>
      <c r="B5" s="19" t="s">
        <v>15</v>
      </c>
      <c r="C5" s="20">
        <v>12500.0</v>
      </c>
      <c r="D5" s="22">
        <f t="shared" si="1"/>
        <v>37500</v>
      </c>
      <c r="E5" s="23">
        <f t="shared" si="2"/>
        <v>387500</v>
      </c>
      <c r="F5" s="18"/>
      <c r="G5" s="25" t="s">
        <v>16</v>
      </c>
      <c r="H5" s="26">
        <f>H3*H4</f>
        <v>22800</v>
      </c>
    </row>
    <row r="6">
      <c r="A6" s="21">
        <v>4.0</v>
      </c>
      <c r="B6" s="19" t="s">
        <v>17</v>
      </c>
      <c r="C6" s="20">
        <v>3000.0</v>
      </c>
      <c r="D6" s="22">
        <f t="shared" si="1"/>
        <v>9000</v>
      </c>
      <c r="E6" s="23">
        <f t="shared" si="2"/>
        <v>93000</v>
      </c>
      <c r="F6" s="18"/>
      <c r="G6" s="28"/>
      <c r="H6" s="29"/>
    </row>
    <row r="7">
      <c r="A7" s="13">
        <v>5.0</v>
      </c>
      <c r="B7" s="19" t="s">
        <v>19</v>
      </c>
      <c r="C7" s="20">
        <v>2000.0</v>
      </c>
      <c r="D7" s="22">
        <f t="shared" si="1"/>
        <v>6000</v>
      </c>
      <c r="E7" s="23">
        <f t="shared" si="2"/>
        <v>62000</v>
      </c>
      <c r="F7" s="18"/>
      <c r="G7" s="25" t="s">
        <v>20</v>
      </c>
      <c r="H7" s="30">
        <v>0.36</v>
      </c>
    </row>
    <row r="8">
      <c r="A8" s="13">
        <v>6.0</v>
      </c>
      <c r="B8" s="19" t="s">
        <v>21</v>
      </c>
      <c r="C8" s="20">
        <v>10000.0</v>
      </c>
      <c r="D8" s="22">
        <v>30000.0</v>
      </c>
      <c r="E8" s="23">
        <f t="shared" si="2"/>
        <v>310000</v>
      </c>
      <c r="F8" s="18"/>
      <c r="G8" s="31"/>
      <c r="H8" s="32"/>
    </row>
    <row r="9">
      <c r="A9" s="13">
        <v>7.0</v>
      </c>
      <c r="B9" s="19" t="s">
        <v>22</v>
      </c>
      <c r="C9" s="20">
        <v>45000.0</v>
      </c>
      <c r="D9" s="22">
        <f t="shared" ref="D9:D10" si="3">C9*3</f>
        <v>135000</v>
      </c>
      <c r="E9" s="23">
        <f t="shared" si="2"/>
        <v>1395000</v>
      </c>
      <c r="F9" s="18"/>
      <c r="G9" s="31"/>
      <c r="H9" s="31" t="s">
        <v>23</v>
      </c>
    </row>
    <row r="10">
      <c r="A10" s="13">
        <v>8.0</v>
      </c>
      <c r="B10" s="19" t="s">
        <v>24</v>
      </c>
      <c r="C10" s="20">
        <f>(12500*120)/300</f>
        <v>5000</v>
      </c>
      <c r="D10" s="22">
        <f t="shared" si="3"/>
        <v>15000</v>
      </c>
      <c r="E10" s="23"/>
      <c r="F10" s="18"/>
      <c r="G10" s="31" t="s">
        <v>25</v>
      </c>
      <c r="H10" s="34">
        <v>38.0</v>
      </c>
    </row>
    <row r="11">
      <c r="A11" s="21">
        <v>8.0</v>
      </c>
      <c r="B11" s="19" t="s">
        <v>26</v>
      </c>
      <c r="C11" s="35">
        <f t="shared" ref="C11:E11" si="4">SUM(C3:C9)</f>
        <v>105300</v>
      </c>
      <c r="D11" s="35">
        <f t="shared" si="4"/>
        <v>315900</v>
      </c>
      <c r="E11" s="36">
        <f t="shared" si="4"/>
        <v>3264300</v>
      </c>
      <c r="F11" s="18"/>
      <c r="G11" s="27" t="s">
        <v>27</v>
      </c>
      <c r="H11" s="38">
        <v>1.0</v>
      </c>
    </row>
    <row r="12">
      <c r="A12" s="21">
        <v>9.0</v>
      </c>
      <c r="B12" s="25" t="s">
        <v>28</v>
      </c>
      <c r="C12" s="35">
        <f>C11*H7</f>
        <v>37908</v>
      </c>
      <c r="D12" s="35">
        <f>D11*H7</f>
        <v>113724</v>
      </c>
      <c r="E12" s="36">
        <f t="shared" ref="E12:E13" si="6">C12*31</f>
        <v>1175148</v>
      </c>
      <c r="F12" s="40"/>
      <c r="G12" s="41" t="s">
        <v>29</v>
      </c>
      <c r="H12" s="42">
        <v>0.5</v>
      </c>
    </row>
    <row r="13">
      <c r="A13" s="43"/>
      <c r="B13" s="44" t="s">
        <v>30</v>
      </c>
      <c r="C13" s="46">
        <f t="shared" ref="C13:D13" si="5">SUM(C11:C12)</f>
        <v>143208</v>
      </c>
      <c r="D13" s="46">
        <f t="shared" si="5"/>
        <v>429624</v>
      </c>
      <c r="E13" s="48">
        <f t="shared" si="6"/>
        <v>4439448</v>
      </c>
      <c r="F13" s="18"/>
      <c r="H13" s="3"/>
    </row>
    <row r="14">
      <c r="C14" s="50">
        <v>216181.0</v>
      </c>
      <c r="G14" s="51"/>
    </row>
    <row r="15">
      <c r="C15" s="50"/>
    </row>
    <row r="16">
      <c r="C16" s="27"/>
    </row>
    <row r="17">
      <c r="C17" s="50"/>
      <c r="F17" s="1" t="s">
        <v>2</v>
      </c>
      <c r="K17" s="2"/>
      <c r="M17" s="3"/>
    </row>
    <row r="18">
      <c r="C18" s="50"/>
      <c r="F18" s="5" t="s">
        <v>3</v>
      </c>
      <c r="G18" s="6" t="s">
        <v>4</v>
      </c>
      <c r="H18" s="6" t="s">
        <v>5</v>
      </c>
      <c r="I18" s="7" t="s">
        <v>7</v>
      </c>
      <c r="J18" s="9" t="s">
        <v>9</v>
      </c>
      <c r="K18" s="10"/>
      <c r="L18" s="11" t="s">
        <v>10</v>
      </c>
      <c r="M18" s="12"/>
    </row>
    <row r="19">
      <c r="F19" s="13">
        <v>1.0</v>
      </c>
      <c r="G19" s="14" t="s">
        <v>11</v>
      </c>
      <c r="H19" s="15">
        <f>M21</f>
        <v>180600</v>
      </c>
      <c r="I19" s="16">
        <v>729120.0</v>
      </c>
      <c r="J19" s="17">
        <f t="shared" ref="J19:J25" si="7">H19*31</f>
        <v>5598600</v>
      </c>
      <c r="K19" s="18"/>
      <c r="L19" s="19" t="s">
        <v>12</v>
      </c>
      <c r="M19" s="20">
        <f>M26*M27*M28</f>
        <v>150.5</v>
      </c>
    </row>
    <row r="20">
      <c r="C20" s="50"/>
      <c r="F20" s="21">
        <v>2.0</v>
      </c>
      <c r="G20" s="19" t="s">
        <v>13</v>
      </c>
      <c r="H20" s="20">
        <v>10000.0</v>
      </c>
      <c r="I20" s="22">
        <f t="shared" ref="I20:I26" si="8">H20*3</f>
        <v>30000</v>
      </c>
      <c r="J20" s="23">
        <f t="shared" si="7"/>
        <v>310000</v>
      </c>
      <c r="K20" s="18"/>
      <c r="L20" s="19" t="s">
        <v>14</v>
      </c>
      <c r="M20" s="24">
        <v>1200.0</v>
      </c>
    </row>
    <row r="21" ht="15.75" customHeight="1">
      <c r="F21" s="21">
        <v>3.0</v>
      </c>
      <c r="G21" s="19" t="s">
        <v>15</v>
      </c>
      <c r="H21" s="20">
        <v>8500.0</v>
      </c>
      <c r="I21" s="22">
        <f t="shared" si="8"/>
        <v>25500</v>
      </c>
      <c r="J21" s="23">
        <f t="shared" si="7"/>
        <v>263500</v>
      </c>
      <c r="K21" s="18"/>
      <c r="L21" s="25" t="s">
        <v>16</v>
      </c>
      <c r="M21" s="26">
        <f>M19*M20</f>
        <v>180600</v>
      </c>
    </row>
    <row r="22" ht="15.75" customHeight="1">
      <c r="C22" s="50"/>
      <c r="F22" s="21">
        <v>4.0</v>
      </c>
      <c r="G22" s="19" t="s">
        <v>17</v>
      </c>
      <c r="H22" s="20">
        <v>2500.0</v>
      </c>
      <c r="I22" s="22">
        <f t="shared" si="8"/>
        <v>7500</v>
      </c>
      <c r="J22" s="23">
        <f t="shared" si="7"/>
        <v>77500</v>
      </c>
      <c r="K22" s="18"/>
      <c r="L22" s="28"/>
      <c r="M22" s="29"/>
    </row>
    <row r="23" ht="15.75" customHeight="1">
      <c r="C23" s="27" t="s">
        <v>31</v>
      </c>
      <c r="F23" s="13">
        <v>5.0</v>
      </c>
      <c r="G23" s="19" t="s">
        <v>19</v>
      </c>
      <c r="H23" s="20">
        <v>1000.0</v>
      </c>
      <c r="I23" s="22">
        <f t="shared" si="8"/>
        <v>3000</v>
      </c>
      <c r="J23" s="23">
        <f t="shared" si="7"/>
        <v>31000</v>
      </c>
      <c r="K23" s="18"/>
      <c r="L23" s="25" t="s">
        <v>20</v>
      </c>
      <c r="M23" s="30">
        <v>0.36</v>
      </c>
    </row>
    <row r="24" ht="15.75" customHeight="1">
      <c r="F24" s="13">
        <v>6.0</v>
      </c>
      <c r="G24" s="19" t="s">
        <v>21</v>
      </c>
      <c r="H24" s="20">
        <v>0.0</v>
      </c>
      <c r="I24" s="22">
        <f t="shared" si="8"/>
        <v>0</v>
      </c>
      <c r="J24" s="23">
        <f t="shared" si="7"/>
        <v>0</v>
      </c>
      <c r="K24" s="18"/>
      <c r="L24" s="31"/>
      <c r="M24" s="32"/>
    </row>
    <row r="25" ht="15.75" customHeight="1">
      <c r="F25" s="13">
        <v>7.0</v>
      </c>
      <c r="G25" s="19" t="s">
        <v>22</v>
      </c>
      <c r="H25" s="20">
        <v>55000.0</v>
      </c>
      <c r="I25" s="22">
        <f t="shared" si="8"/>
        <v>165000</v>
      </c>
      <c r="J25" s="23">
        <f t="shared" si="7"/>
        <v>1705000</v>
      </c>
      <c r="K25" s="18"/>
      <c r="L25" s="31"/>
      <c r="M25" s="32"/>
    </row>
    <row r="26" ht="15.75" customHeight="1">
      <c r="D26" s="50"/>
      <c r="F26" s="13">
        <v>8.0</v>
      </c>
      <c r="G26" s="19" t="s">
        <v>24</v>
      </c>
      <c r="H26" s="20">
        <f>(12500*120)/300</f>
        <v>5000</v>
      </c>
      <c r="I26" s="22">
        <f t="shared" si="8"/>
        <v>15000</v>
      </c>
      <c r="J26" s="23"/>
      <c r="K26" s="18"/>
      <c r="L26" s="31" t="s">
        <v>25</v>
      </c>
      <c r="M26" s="33">
        <v>430.0</v>
      </c>
    </row>
    <row r="27" ht="15.75" customHeight="1">
      <c r="F27" s="21">
        <v>8.0</v>
      </c>
      <c r="G27" s="19" t="s">
        <v>26</v>
      </c>
      <c r="H27" s="35">
        <f>SUM(H19:H25)</f>
        <v>257600</v>
      </c>
      <c r="I27" s="37">
        <f>SUM(I19:I26)</f>
        <v>975120</v>
      </c>
      <c r="J27" s="36">
        <f>SUM(J19:J25)</f>
        <v>7985600</v>
      </c>
      <c r="K27" s="18"/>
      <c r="L27" s="27" t="s">
        <v>27</v>
      </c>
      <c r="M27" s="38">
        <v>1.0</v>
      </c>
    </row>
    <row r="28" ht="15.75" customHeight="1">
      <c r="F28" s="21">
        <v>9.0</v>
      </c>
      <c r="G28" s="25" t="s">
        <v>28</v>
      </c>
      <c r="H28" s="35">
        <f>H27*M23</f>
        <v>92736</v>
      </c>
      <c r="I28" s="37">
        <f>I27*M23</f>
        <v>351043.2</v>
      </c>
      <c r="J28" s="36">
        <f t="shared" ref="J28:J29" si="10">H28*31</f>
        <v>2874816</v>
      </c>
      <c r="K28" s="40"/>
      <c r="L28" s="41" t="s">
        <v>29</v>
      </c>
      <c r="M28" s="42">
        <v>0.35</v>
      </c>
    </row>
    <row r="29" ht="15.75" customHeight="1">
      <c r="F29" s="43"/>
      <c r="G29" s="44" t="s">
        <v>30</v>
      </c>
      <c r="H29" s="46">
        <f t="shared" ref="H29:I29" si="9">SUM(H27:H28)</f>
        <v>350336</v>
      </c>
      <c r="I29" s="52">
        <f t="shared" si="9"/>
        <v>1326163.2</v>
      </c>
      <c r="J29" s="48">
        <f t="shared" si="10"/>
        <v>10860416</v>
      </c>
      <c r="K29" s="18"/>
      <c r="M29" s="3"/>
    </row>
    <row r="30" ht="15.75" customHeight="1">
      <c r="L30" s="51"/>
    </row>
    <row r="31" ht="15.75" customHeight="1">
      <c r="H31" s="50"/>
    </row>
    <row r="32" ht="15.75" customHeight="1"/>
    <row r="33" ht="15.75" customHeight="1">
      <c r="H33" s="50"/>
    </row>
    <row r="34" ht="15.75" customHeight="1">
      <c r="G34" s="50"/>
    </row>
    <row r="35" ht="15.75" customHeight="1"/>
    <row r="36" ht="15.75" customHeight="1">
      <c r="D36" s="27" t="s">
        <v>31</v>
      </c>
    </row>
    <row r="37" ht="15.75" customHeight="1"/>
    <row r="38" ht="15.75" customHeight="1">
      <c r="H38" s="50"/>
    </row>
    <row r="39" ht="15.75" customHeight="1">
      <c r="D39" s="5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G2:H2"/>
    <mergeCell ref="F17:J17"/>
    <mergeCell ref="L18:M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7.38"/>
    <col customWidth="1" min="3" max="3" width="15.88"/>
    <col customWidth="1" min="4" max="4" width="18.25"/>
    <col customWidth="1" min="5" max="5" width="16.25"/>
    <col customWidth="1" min="6" max="6" width="8.75"/>
    <col customWidth="1" min="7" max="7" width="23.13"/>
    <col customWidth="1" min="8" max="8" width="16.38"/>
    <col customWidth="1" min="9" max="10" width="8.75"/>
    <col customWidth="1" min="11" max="11" width="14.25"/>
    <col customWidth="1" min="12" max="12" width="4.63"/>
    <col customWidth="1" min="13" max="13" width="8.75"/>
    <col customWidth="1" min="14" max="14" width="14.13"/>
    <col customWidth="1" min="15" max="17" width="8.75"/>
  </cols>
  <sheetData>
    <row r="1">
      <c r="A1" s="1" t="s">
        <v>2</v>
      </c>
      <c r="F1" s="2"/>
      <c r="H1" s="3"/>
      <c r="I1" s="4"/>
    </row>
    <row r="2">
      <c r="A2" s="5" t="s">
        <v>3</v>
      </c>
      <c r="B2" s="6" t="s">
        <v>4</v>
      </c>
      <c r="C2" s="6" t="s">
        <v>5</v>
      </c>
      <c r="D2" s="7" t="s">
        <v>7</v>
      </c>
      <c r="E2" s="9" t="s">
        <v>9</v>
      </c>
      <c r="F2" s="10"/>
      <c r="G2" s="11" t="s">
        <v>10</v>
      </c>
      <c r="H2" s="12"/>
      <c r="I2" s="4"/>
    </row>
    <row r="3">
      <c r="A3" s="13">
        <v>1.0</v>
      </c>
      <c r="B3" s="14" t="s">
        <v>11</v>
      </c>
      <c r="C3" s="15">
        <f>H5</f>
        <v>80304</v>
      </c>
      <c r="D3" s="16">
        <f t="shared" ref="D3:D10" si="1">C3*3</f>
        <v>240912</v>
      </c>
      <c r="E3" s="17">
        <f t="shared" ref="E3:E9" si="2">C3*31</f>
        <v>2489424</v>
      </c>
      <c r="F3" s="18"/>
      <c r="G3" s="19" t="s">
        <v>12</v>
      </c>
      <c r="H3" s="20">
        <f>H10*H11*H12</f>
        <v>66.92</v>
      </c>
    </row>
    <row r="4">
      <c r="A4" s="21">
        <v>2.0</v>
      </c>
      <c r="B4" s="19" t="s">
        <v>13</v>
      </c>
      <c r="C4" s="20">
        <v>10000.0</v>
      </c>
      <c r="D4" s="22">
        <f t="shared" si="1"/>
        <v>30000</v>
      </c>
      <c r="E4" s="23">
        <f t="shared" si="2"/>
        <v>310000</v>
      </c>
      <c r="F4" s="18"/>
      <c r="G4" s="19" t="s">
        <v>14</v>
      </c>
      <c r="H4" s="24">
        <v>1200.0</v>
      </c>
    </row>
    <row r="5">
      <c r="A5" s="21">
        <v>3.0</v>
      </c>
      <c r="B5" s="19" t="s">
        <v>15</v>
      </c>
      <c r="C5" s="20">
        <v>8500.0</v>
      </c>
      <c r="D5" s="22">
        <f t="shared" si="1"/>
        <v>25500</v>
      </c>
      <c r="E5" s="23">
        <f t="shared" si="2"/>
        <v>263500</v>
      </c>
      <c r="F5" s="18"/>
      <c r="G5" s="25" t="s">
        <v>16</v>
      </c>
      <c r="H5" s="26">
        <f>H3*H4</f>
        <v>80304</v>
      </c>
      <c r="Q5" s="27" t="s">
        <v>18</v>
      </c>
    </row>
    <row r="6">
      <c r="A6" s="21">
        <v>4.0</v>
      </c>
      <c r="B6" s="19" t="s">
        <v>17</v>
      </c>
      <c r="C6" s="20">
        <v>2500.0</v>
      </c>
      <c r="D6" s="22">
        <f t="shared" si="1"/>
        <v>7500</v>
      </c>
      <c r="E6" s="23">
        <f t="shared" si="2"/>
        <v>77500</v>
      </c>
      <c r="F6" s="18"/>
      <c r="G6" s="28"/>
      <c r="H6" s="29"/>
    </row>
    <row r="7">
      <c r="A7" s="13">
        <v>5.0</v>
      </c>
      <c r="B7" s="19" t="s">
        <v>19</v>
      </c>
      <c r="C7" s="20">
        <v>1000.0</v>
      </c>
      <c r="D7" s="22">
        <f t="shared" si="1"/>
        <v>3000</v>
      </c>
      <c r="E7" s="23">
        <f t="shared" si="2"/>
        <v>31000</v>
      </c>
      <c r="F7" s="18"/>
      <c r="G7" s="25" t="s">
        <v>20</v>
      </c>
      <c r="H7" s="30">
        <v>0.1</v>
      </c>
    </row>
    <row r="8">
      <c r="A8" s="13">
        <v>6.0</v>
      </c>
      <c r="B8" s="19" t="s">
        <v>21</v>
      </c>
      <c r="C8" s="20">
        <v>0.0</v>
      </c>
      <c r="D8" s="22">
        <f t="shared" si="1"/>
        <v>0</v>
      </c>
      <c r="E8" s="23">
        <f t="shared" si="2"/>
        <v>0</v>
      </c>
      <c r="F8" s="18"/>
      <c r="G8" s="31"/>
      <c r="H8" s="32"/>
      <c r="I8" s="4"/>
    </row>
    <row r="9">
      <c r="A9" s="13">
        <v>7.0</v>
      </c>
      <c r="B9" s="19" t="s">
        <v>22</v>
      </c>
      <c r="C9" s="20">
        <v>55000.0</v>
      </c>
      <c r="D9" s="22">
        <f t="shared" si="1"/>
        <v>165000</v>
      </c>
      <c r="E9" s="23">
        <f t="shared" si="2"/>
        <v>1705000</v>
      </c>
      <c r="F9" s="18"/>
      <c r="G9" s="31"/>
      <c r="H9" s="32"/>
      <c r="I9" s="4"/>
    </row>
    <row r="10">
      <c r="A10" s="13">
        <v>8.0</v>
      </c>
      <c r="B10" s="19" t="s">
        <v>24</v>
      </c>
      <c r="C10" s="20">
        <f>(12500*120)/300</f>
        <v>5000</v>
      </c>
      <c r="D10" s="22">
        <f t="shared" si="1"/>
        <v>15000</v>
      </c>
      <c r="E10" s="23"/>
      <c r="F10" s="18"/>
      <c r="G10" s="31" t="s">
        <v>25</v>
      </c>
      <c r="H10" s="33">
        <v>191.2</v>
      </c>
      <c r="I10" s="4"/>
    </row>
    <row r="11">
      <c r="A11" s="21">
        <v>8.0</v>
      </c>
      <c r="B11" s="19" t="s">
        <v>26</v>
      </c>
      <c r="C11" s="35">
        <f>SUM(C3:C9)</f>
        <v>157304</v>
      </c>
      <c r="D11" s="37">
        <f>SUM(D3:D10)</f>
        <v>486912</v>
      </c>
      <c r="E11" s="36">
        <f>SUM(E3:E9)</f>
        <v>4876424</v>
      </c>
      <c r="F11" s="18"/>
      <c r="G11" s="27" t="s">
        <v>27</v>
      </c>
      <c r="H11" s="38">
        <v>1.0</v>
      </c>
      <c r="I11" s="4"/>
      <c r="K11" s="3"/>
      <c r="L11" s="39"/>
      <c r="M11" s="39"/>
      <c r="N11" s="39"/>
    </row>
    <row r="12">
      <c r="A12" s="21">
        <v>9.0</v>
      </c>
      <c r="B12" s="25" t="s">
        <v>28</v>
      </c>
      <c r="C12" s="35">
        <f>C11*H7</f>
        <v>15730.4</v>
      </c>
      <c r="D12" s="37">
        <f>D11*H7</f>
        <v>48691.2</v>
      </c>
      <c r="E12" s="36">
        <f t="shared" ref="E12:E13" si="4">C12*31</f>
        <v>487642.4</v>
      </c>
      <c r="F12" s="40"/>
      <c r="G12" s="41" t="s">
        <v>29</v>
      </c>
      <c r="H12" s="42">
        <v>0.35</v>
      </c>
      <c r="I12" s="4"/>
      <c r="K12" s="45"/>
      <c r="L12" s="47"/>
      <c r="M12" s="47"/>
      <c r="N12" s="49"/>
    </row>
    <row r="13">
      <c r="A13" s="43"/>
      <c r="B13" s="44" t="s">
        <v>30</v>
      </c>
      <c r="C13" s="46">
        <f t="shared" ref="C13:D13" si="3">SUM(C11:C12)</f>
        <v>173034.4</v>
      </c>
      <c r="D13" s="52">
        <f t="shared" si="3"/>
        <v>535603.2</v>
      </c>
      <c r="E13" s="48">
        <f t="shared" si="4"/>
        <v>5364066.4</v>
      </c>
      <c r="F13" s="18"/>
      <c r="H13" s="3"/>
      <c r="I13" s="4"/>
      <c r="K13" s="53"/>
      <c r="L13" s="47"/>
      <c r="M13" s="47"/>
      <c r="N13" s="49"/>
    </row>
    <row r="14">
      <c r="G14" s="51"/>
      <c r="K14" s="45"/>
      <c r="L14" s="47"/>
      <c r="M14" s="47"/>
      <c r="N14" s="49"/>
    </row>
    <row r="15">
      <c r="K15" s="53"/>
      <c r="L15" s="47"/>
      <c r="M15" s="47"/>
      <c r="N15" s="49"/>
    </row>
    <row r="16">
      <c r="L16" s="47"/>
      <c r="M16" s="47"/>
      <c r="N16" s="49"/>
    </row>
    <row r="17">
      <c r="L17" s="47"/>
      <c r="M17" s="47"/>
      <c r="N17" s="49"/>
    </row>
    <row r="18">
      <c r="L18" s="47"/>
      <c r="M18" s="47"/>
      <c r="N18" s="4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G2:H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5.0"/>
    <col customWidth="1" min="3" max="4" width="11.38"/>
    <col customWidth="1" min="5" max="5" width="13.63"/>
    <col customWidth="1" min="6" max="6" width="8.75"/>
    <col customWidth="1" min="7" max="7" width="20.88"/>
    <col customWidth="1" min="8" max="8" width="11.38"/>
    <col customWidth="1" min="9" max="10" width="8.75"/>
    <col customWidth="1" min="11" max="11" width="14.25"/>
    <col customWidth="1" min="12" max="12" width="4.63"/>
    <col customWidth="1" min="13" max="13" width="8.75"/>
    <col customWidth="1" min="14" max="14" width="14.13"/>
  </cols>
  <sheetData>
    <row r="1">
      <c r="A1" s="1" t="s">
        <v>0</v>
      </c>
      <c r="F1" s="2"/>
      <c r="H1" s="3"/>
      <c r="I1" s="4"/>
    </row>
    <row r="2">
      <c r="A2" s="5" t="s">
        <v>3</v>
      </c>
      <c r="B2" s="6" t="s">
        <v>4</v>
      </c>
      <c r="C2" s="6" t="s">
        <v>6</v>
      </c>
      <c r="D2" s="7"/>
      <c r="E2" s="9" t="s">
        <v>9</v>
      </c>
      <c r="F2" s="10"/>
      <c r="G2" s="11" t="s">
        <v>10</v>
      </c>
      <c r="H2" s="12"/>
      <c r="I2" s="4"/>
    </row>
    <row r="3">
      <c r="A3" s="13">
        <v>1.0</v>
      </c>
      <c r="B3" s="14" t="s">
        <v>11</v>
      </c>
      <c r="C3" s="15">
        <f>H5</f>
        <v>40800</v>
      </c>
      <c r="D3" s="16">
        <f>C3</f>
        <v>40800</v>
      </c>
      <c r="E3" s="17">
        <f t="shared" ref="E3:E10" si="1">C3*31</f>
        <v>1264800</v>
      </c>
      <c r="F3" s="18"/>
      <c r="G3" s="19" t="s">
        <v>12</v>
      </c>
      <c r="H3" s="20">
        <f>H10*H11*H12</f>
        <v>34</v>
      </c>
    </row>
    <row r="4">
      <c r="A4" s="21">
        <v>2.0</v>
      </c>
      <c r="B4" s="19" t="s">
        <v>13</v>
      </c>
      <c r="C4" s="20">
        <v>10000.0</v>
      </c>
      <c r="D4" s="22">
        <f t="shared" ref="D4:D7" si="2">C4*2</f>
        <v>20000</v>
      </c>
      <c r="E4" s="23">
        <f t="shared" si="1"/>
        <v>310000</v>
      </c>
      <c r="F4" s="18"/>
      <c r="G4" s="19" t="s">
        <v>14</v>
      </c>
      <c r="H4" s="24">
        <v>1200.0</v>
      </c>
    </row>
    <row r="5">
      <c r="A5" s="21">
        <v>3.0</v>
      </c>
      <c r="B5" s="19" t="s">
        <v>15</v>
      </c>
      <c r="C5" s="20">
        <v>3500.0</v>
      </c>
      <c r="D5" s="22">
        <f t="shared" si="2"/>
        <v>7000</v>
      </c>
      <c r="E5" s="23">
        <f t="shared" si="1"/>
        <v>108500</v>
      </c>
      <c r="F5" s="18"/>
      <c r="G5" s="25" t="s">
        <v>16</v>
      </c>
      <c r="H5" s="26">
        <f>H3*H4</f>
        <v>40800</v>
      </c>
    </row>
    <row r="6">
      <c r="A6" s="21">
        <v>4.0</v>
      </c>
      <c r="B6" s="19" t="s">
        <v>17</v>
      </c>
      <c r="C6" s="20">
        <v>2500.0</v>
      </c>
      <c r="D6" s="22">
        <f t="shared" si="2"/>
        <v>5000</v>
      </c>
      <c r="E6" s="23">
        <f t="shared" si="1"/>
        <v>77500</v>
      </c>
      <c r="F6" s="18"/>
      <c r="G6" s="28"/>
      <c r="H6" s="29"/>
    </row>
    <row r="7">
      <c r="A7" s="13">
        <v>5.0</v>
      </c>
      <c r="B7" s="19" t="s">
        <v>19</v>
      </c>
      <c r="C7" s="20">
        <v>1000.0</v>
      </c>
      <c r="D7" s="22">
        <f t="shared" si="2"/>
        <v>2000</v>
      </c>
      <c r="E7" s="23">
        <f t="shared" si="1"/>
        <v>31000</v>
      </c>
      <c r="F7" s="18"/>
      <c r="G7" s="25" t="s">
        <v>20</v>
      </c>
      <c r="H7" s="30">
        <v>0.0</v>
      </c>
    </row>
    <row r="8">
      <c r="A8" s="13">
        <v>6.0</v>
      </c>
      <c r="B8" s="19" t="s">
        <v>21</v>
      </c>
      <c r="C8" s="20">
        <v>0.0</v>
      </c>
      <c r="D8" s="22">
        <v>15000.0</v>
      </c>
      <c r="E8" s="23">
        <f t="shared" si="1"/>
        <v>0</v>
      </c>
      <c r="F8" s="18"/>
      <c r="G8" s="31"/>
      <c r="H8" s="32"/>
      <c r="I8" s="4"/>
    </row>
    <row r="9">
      <c r="A9" s="13">
        <v>7.0</v>
      </c>
      <c r="B9" s="19" t="s">
        <v>22</v>
      </c>
      <c r="C9" s="20">
        <v>11180.0</v>
      </c>
      <c r="D9" s="22">
        <f>C9*2</f>
        <v>22360</v>
      </c>
      <c r="E9" s="23">
        <f t="shared" si="1"/>
        <v>346580</v>
      </c>
      <c r="F9" s="18"/>
      <c r="G9" s="31"/>
      <c r="H9" s="32"/>
      <c r="I9" s="4"/>
    </row>
    <row r="10">
      <c r="A10" s="13">
        <v>8.0</v>
      </c>
      <c r="B10" s="19" t="s">
        <v>24</v>
      </c>
      <c r="C10" s="20">
        <v>0.0</v>
      </c>
      <c r="D10" s="22"/>
      <c r="E10" s="23">
        <f t="shared" si="1"/>
        <v>0</v>
      </c>
      <c r="F10" s="18"/>
      <c r="G10" s="31" t="s">
        <v>25</v>
      </c>
      <c r="H10" s="31">
        <v>68.0</v>
      </c>
      <c r="I10" s="4"/>
    </row>
    <row r="11">
      <c r="A11" s="21">
        <v>8.0</v>
      </c>
      <c r="B11" s="19" t="s">
        <v>26</v>
      </c>
      <c r="C11" s="35">
        <f t="shared" ref="C11:E11" si="3">SUM(C3:C9)</f>
        <v>68980</v>
      </c>
      <c r="D11" s="35">
        <f t="shared" si="3"/>
        <v>112160</v>
      </c>
      <c r="E11" s="36">
        <f t="shared" si="3"/>
        <v>2138380</v>
      </c>
      <c r="F11" s="18"/>
      <c r="G11" s="27" t="s">
        <v>27</v>
      </c>
      <c r="H11" s="38">
        <v>2.0</v>
      </c>
      <c r="I11" s="4"/>
      <c r="K11" s="3">
        <f>11500000</f>
        <v>11500000</v>
      </c>
      <c r="L11" s="39"/>
      <c r="M11" s="39"/>
      <c r="N11" s="39"/>
    </row>
    <row r="12">
      <c r="A12" s="21">
        <v>9.0</v>
      </c>
      <c r="B12" s="25" t="s">
        <v>28</v>
      </c>
      <c r="C12" s="35">
        <f>C11*H7</f>
        <v>0</v>
      </c>
      <c r="D12" s="37"/>
      <c r="E12" s="36">
        <f t="shared" ref="E12:E13" si="4">C12*31</f>
        <v>0</v>
      </c>
      <c r="F12" s="40"/>
      <c r="G12" s="41" t="s">
        <v>29</v>
      </c>
      <c r="H12" s="42">
        <v>0.25</v>
      </c>
      <c r="I12" s="4"/>
      <c r="K12" s="45">
        <f>K11*40%</f>
        <v>4600000</v>
      </c>
      <c r="L12" s="47"/>
      <c r="M12" s="47"/>
      <c r="N12" s="49"/>
    </row>
    <row r="13">
      <c r="A13" s="43"/>
      <c r="B13" s="44" t="s">
        <v>30</v>
      </c>
      <c r="C13" s="46">
        <f>SUM(C11:C12)</f>
        <v>68980</v>
      </c>
      <c r="D13" s="52"/>
      <c r="E13" s="48">
        <f t="shared" si="4"/>
        <v>2138380</v>
      </c>
      <c r="F13" s="18"/>
      <c r="H13" s="3"/>
      <c r="I13" s="4"/>
      <c r="K13" s="53">
        <f>K12+K11</f>
        <v>16100000</v>
      </c>
      <c r="L13" s="47"/>
      <c r="M13" s="47"/>
      <c r="N13" s="49"/>
    </row>
    <row r="14">
      <c r="G14" s="51"/>
      <c r="K14" s="45">
        <f>K13/48</f>
        <v>335416.6667</v>
      </c>
      <c r="L14" s="47"/>
      <c r="M14" s="47"/>
      <c r="N14" s="49"/>
    </row>
    <row r="15">
      <c r="K15" s="53">
        <f>K14/30</f>
        <v>11180.55556</v>
      </c>
      <c r="L15" s="47"/>
      <c r="M15" s="47"/>
      <c r="N15" s="49"/>
    </row>
    <row r="16">
      <c r="L16" s="47"/>
      <c r="M16" s="47"/>
      <c r="N16" s="49"/>
    </row>
    <row r="17">
      <c r="L17" s="47"/>
      <c r="M17" s="47"/>
      <c r="N17" s="49"/>
    </row>
    <row r="18">
      <c r="L18" s="47"/>
      <c r="M18" s="47"/>
      <c r="N18" s="4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G2:H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2024-05-14T00:13:00Z</dcterms:created>
  <dc:creator>Praise Isimoya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BDF686F77B8D452B8A2B3B8EC22DA285_12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